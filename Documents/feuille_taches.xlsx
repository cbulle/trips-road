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301500\Downloads\"/>
    </mc:Choice>
  </mc:AlternateContent>
  <xr:revisionPtr revIDLastSave="0" documentId="13_ncr:1_{B663457E-6C64-4D39-AC50-9CF954B7273F}" xr6:coauthVersionLast="47" xr6:coauthVersionMax="47" xr10:uidLastSave="{00000000-0000-0000-0000-000000000000}"/>
  <bookViews>
    <workbookView xWindow="-10380" yWindow="9930" windowWidth="21600" windowHeight="11385" activeTab="1" xr2:uid="{B30A92AE-5734-4E63-8DD0-FB8D92DE112F}"/>
  </bookViews>
  <sheets>
    <sheet name="S3" sheetId="1" r:id="rId1"/>
    <sheet name="S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4" i="2"/>
  <c r="M15" i="2"/>
  <c r="M16" i="2"/>
  <c r="M17" i="2"/>
  <c r="M18" i="2"/>
  <c r="M19" i="2"/>
  <c r="M20" i="2"/>
  <c r="M21" i="2"/>
  <c r="M3" i="2"/>
  <c r="M56" i="1"/>
  <c r="M51" i="1"/>
  <c r="M52" i="1"/>
  <c r="M53" i="1"/>
  <c r="M54" i="1"/>
  <c r="M55" i="1"/>
  <c r="M33" i="1"/>
  <c r="M47" i="1"/>
  <c r="M48" i="1"/>
  <c r="M49" i="1"/>
  <c r="M50" i="1"/>
  <c r="M46" i="1"/>
  <c r="M39" i="1"/>
  <c r="M40" i="1"/>
  <c r="M41" i="1"/>
  <c r="M42" i="1"/>
  <c r="M43" i="1"/>
  <c r="M44" i="1"/>
  <c r="M45" i="1"/>
  <c r="M3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" i="1"/>
</calcChain>
</file>

<file path=xl/sharedStrings.xml><?xml version="1.0" encoding="utf-8"?>
<sst xmlns="http://schemas.openxmlformats.org/spreadsheetml/2006/main" count="331" uniqueCount="162">
  <si>
    <t>Ordre de priorité</t>
  </si>
  <si>
    <t>Nom de la Tâche</t>
  </si>
  <si>
    <t>Compétence(s)</t>
  </si>
  <si>
    <t>Lambert Sasha 12408769</t>
  </si>
  <si>
    <t>Bayssat Adrien 12405908</t>
  </si>
  <si>
    <t>Bulle Céleste 12301500</t>
  </si>
  <si>
    <t>Poncet Lenny 12401428</t>
  </si>
  <si>
    <t>Description</t>
  </si>
  <si>
    <t>Conception header</t>
  </si>
  <si>
    <t>Conception footer</t>
  </si>
  <si>
    <t xml:space="preserve">total </t>
  </si>
  <si>
    <t xml:space="preserve">Style création roadTrip </t>
  </si>
  <si>
    <t>Création base de données</t>
  </si>
  <si>
    <t>Page de Profil</t>
  </si>
  <si>
    <t xml:space="preserve">Barre de recherche Road-Trip </t>
  </si>
  <si>
    <t>Connexion base de données</t>
  </si>
  <si>
    <t>Gestion accès aux pages</t>
  </si>
  <si>
    <t>Mode sombre/ Mode malvoyant</t>
  </si>
  <si>
    <t xml:space="preserve">Mode daltonien </t>
  </si>
  <si>
    <t>Page création de roadtrip</t>
  </si>
  <si>
    <t>Fonction compréssions image</t>
  </si>
  <si>
    <t>Ajout d'un éditeur de texte</t>
  </si>
  <si>
    <t>Envoie du formulaire faq en mail (en local)</t>
  </si>
  <si>
    <t>Calcul des distances en fonction du mode de transport</t>
  </si>
  <si>
    <t>Choix du mode de transport</t>
  </si>
  <si>
    <t>Ajout / suppression amis</t>
  </si>
  <si>
    <t>Création affiche</t>
  </si>
  <si>
    <t>Messagerie (avec base de données)</t>
  </si>
  <si>
    <t xml:space="preserve">Filtre sur la carte  pour différents types de lieux </t>
  </si>
  <si>
    <t xml:space="preserve">Ajout en favoris d'un roadtrip </t>
  </si>
  <si>
    <t>page modification roadTrip</t>
  </si>
  <si>
    <t>Sessions utilisateur</t>
  </si>
  <si>
    <t>Upload de fichiers</t>
  </si>
  <si>
    <t>Traitement des formulaires</t>
  </si>
  <si>
    <t>Gestion des erreurs</t>
  </si>
  <si>
    <t>Redirection sécurisée</t>
  </si>
  <si>
    <t>map.js complet pour gestion de la carte</t>
  </si>
  <si>
    <t>Fonctions de géocodage</t>
  </si>
  <si>
    <t>Stockage localStorage</t>
  </si>
  <si>
    <t>Réalisation pages légales(cookies, cgu , faq)</t>
  </si>
  <si>
    <t>Barre de Recherche d'utilisateurs</t>
  </si>
  <si>
    <t>Autocomplétion pour la recherche de villes</t>
  </si>
  <si>
    <t>Barre de recherche Suggestions de villes dans un menu déroulant</t>
  </si>
  <si>
    <t>Requêtes préparées (PDO)</t>
  </si>
  <si>
    <t>Protection contre injections SQL</t>
  </si>
  <si>
    <t>Hachage des mots de passe</t>
  </si>
  <si>
    <t>Intégration Leaflet (carte interactive)</t>
  </si>
  <si>
    <t>Géolocalisation de l'utilisateur</t>
  </si>
  <si>
    <t>c1</t>
  </si>
  <si>
    <t>c2</t>
  </si>
  <si>
    <t>c3</t>
  </si>
  <si>
    <t>c4</t>
  </si>
  <si>
    <t>c5</t>
  </si>
  <si>
    <t>c6</t>
  </si>
  <si>
    <t>x</t>
  </si>
  <si>
    <t>Barre de recherche lieux index</t>
  </si>
  <si>
    <t xml:space="preserve">Brainstorming </t>
  </si>
  <si>
    <t>organisation / Partition et "rangement" fichiers</t>
  </si>
  <si>
    <t>Conception et intégration de l’en-tête du site pour assurer une navigation claire et cohérente sur l’ensemble des pages.</t>
  </si>
  <si>
    <t>Création du pied de page incluant les informations légales et les liens essentiels, garantissant une navigation homogène.</t>
  </si>
  <si>
    <t>Développement d’une page d’authentification sécurisée permettant aux utilisateurs de se connecter à leur compte, ou de s'inscrire.</t>
  </si>
  <si>
    <t>Page de connexion / inscription</t>
  </si>
  <si>
    <t>Mise en place de l’interface graphique dédiée à la création de road trips pour une expérience utilisateur intuitive.</t>
  </si>
  <si>
    <t>Conception et structuration de la base de données afin de stocker les utilisateurs, road trips et données associées.</t>
  </si>
  <si>
    <t>Développement d’une page permettant à l’utilisateur de consulter et modifier ses informations personnelles.</t>
  </si>
  <si>
    <t>Création d’une barre de recherche facilitant l’accès aux différents lieux référencés sur la page d’accueil.</t>
  </si>
  <si>
    <t>Mise en place d’un système de suggestions dynamiques pour faciliter la saisie des villes par l’utilisateur.</t>
  </si>
  <si>
    <t>Développement du mécanisme de connexion sécurisée entre l’application et la base de données.</t>
  </si>
  <si>
    <t>Implémentation d’un contrôle d’accès pour restreindre certaines pages aux utilisateurs authentifiés.</t>
  </si>
  <si>
    <t>Ajout de modes d’affichage alternatifs afin d’améliorer l’accessibilité et le confort de lecture.</t>
  </si>
  <si>
    <t>Adaptation des couleurs de l’interface pour garantir une meilleure lisibilité aux personnes daltoniennes.</t>
  </si>
  <si>
    <t>Développement d’une page dédiée à la création complète d’un road trip par l’utilisateur.</t>
  </si>
  <si>
    <t>Mise en place d’un système de compression pour optimiser le stockage et le chargement des images.</t>
  </si>
  <si>
    <t>Intégration d’un éditeur de texte permettant la mise en forme des descriptions de road trips.</t>
  </si>
  <si>
    <t>Création des pages informatives nécessaires à la conformité légale du site.</t>
  </si>
  <si>
    <t>Implémentation de l’envoi automatique des messages du formulaire FAQ par email en environnement local.</t>
  </si>
  <si>
    <t>Développement d’un calcul de distance tenant compte du mode de transport sélectionné.</t>
  </si>
  <si>
    <t>Ajout d’une fonctionnalité permettant à l’utilisateur de sélectionner son mode de déplacement.</t>
  </si>
  <si>
    <t>Implémentation d’un système de gestion des relations entre utilisateurs.</t>
  </si>
  <si>
    <t>Conception d’une affiche de présentation du projet destinée à la communication visuelle.</t>
  </si>
  <si>
    <t>Développement d’un système de messagerie permettant l’échange de messages entre utilisateurs.</t>
  </si>
  <si>
    <t>Ajout de filtres interactifs pour afficher ou masquer certains types de lieux sur la carte.</t>
  </si>
  <si>
    <t>Mise en place des fonctionnalités de suppression et de partage d’un road trip via un lien.</t>
  </si>
  <si>
    <t>Structuration et organisation des fichiers du projet pour assurer une meilleure maintenabilité.</t>
  </si>
  <si>
    <t>Développement d’une page permettant la mise à jour des informations d’un road trip existant.</t>
  </si>
  <si>
    <t>Gestion des sessions afin de maintenir l’authentification des utilisateurs durant leur navigation.</t>
  </si>
  <si>
    <t>Mise en place d’un système sécurisé de téléversement de fichiers par les utilisateurs.</t>
  </si>
  <si>
    <t>Validation et traitement des données saisies par l’utilisateur dans les formulaires.</t>
  </si>
  <si>
    <t>Implémentation de mécanismes de détection et d’affichage des erreurs pour améliorer la robustesse de l’application.</t>
  </si>
  <si>
    <t>Gestion des redirections afin d’éviter les accès non autorisés aux pages sensibles.</t>
  </si>
  <si>
    <t>Développement d’un script centralisé pour gérer l’affichage et les interactions avec la carte.</t>
  </si>
  <si>
    <t>Intégration de fonctions permettant de convertir des adresses en coordonnées géographiques.</t>
  </si>
  <si>
    <t>Utilisation du stockage local du navigateur pour conserver certaines données côté client.</t>
  </si>
  <si>
    <t>Développement d’une fonctionnalité permettant de rechercher d’autres utilisateurs sur la plateforme.</t>
  </si>
  <si>
    <t>Ajout d’une saisie assistée améliorant la rapidité et la précision des recherches de villes.</t>
  </si>
  <si>
    <t>Utilisation de requêtes préparées pour sécuriser les échanges avec la base de données.</t>
  </si>
  <si>
    <t>Mise en œuvre de mesures de sécurité pour prévenir les attaques par injection SQL.</t>
  </si>
  <si>
    <t>Sécurisation des mots de passe utilisateurs grâce à un hachage avant stockage.</t>
  </si>
  <si>
    <t>Intégration de la bibliothèque Leaflet pour afficher une carte interactive et dynamique.</t>
  </si>
  <si>
    <t>Implémentation de la géolocalisation pour centrer la carte sur la position de l’utilisateur.</t>
  </si>
  <si>
    <t>Participation aux phases de réflexion et de conception afin de définir les fonctionnalités du projet.</t>
  </si>
  <si>
    <t xml:space="preserve">de 1 à 4 </t>
  </si>
  <si>
    <t xml:space="preserve">Ajout lieux en favoris </t>
  </si>
  <si>
    <t>Style d'affichage du roadTrip</t>
  </si>
  <si>
    <t>Page visualisation des roadtrip (suppression, affichage)</t>
  </si>
  <si>
    <t>partager(via lien)  un roadtrip</t>
  </si>
  <si>
    <t xml:space="preserve">Rédaction compte rendu </t>
  </si>
  <si>
    <t>Implémentation d’un système permettant aux utilisateurs d’enregistrer des lieux favoris.</t>
  </si>
  <si>
    <t>Implémentation d’un système permettant aux utilisateurs d’enregistrer des road trips favoris et de les gérer depuis la page favoris.</t>
  </si>
  <si>
    <t>Mise en place de l’interface graphique dédiée à l'affichage de road-trip et de ses étapes pour une expérience utilisateur intuitive.</t>
  </si>
  <si>
    <t>Mise en place de l’interface graphique dédiée à l'affichage de road trips  permettant la suppression, la modification, le partage,..</t>
  </si>
  <si>
    <t xml:space="preserve">Rédaction d'un compte rendu hebdomadaire afin de témoigner de l'avancement de notre projet </t>
  </si>
  <si>
    <t xml:space="preserve">Création sur figma </t>
  </si>
  <si>
    <t>Rédaction cahier des charges</t>
  </si>
  <si>
    <t>Debuggage css</t>
  </si>
  <si>
    <t>Historique</t>
  </si>
  <si>
    <t xml:space="preserve">Refonte de l'heure </t>
  </si>
  <si>
    <t>Responsive</t>
  </si>
  <si>
    <t>Réalisation de maquettes virtuelles</t>
  </si>
  <si>
    <t xml:space="preserve">Analyse du sujet, création des diagrammes, recherche rgpd et mise en forme du cahier des charges </t>
  </si>
  <si>
    <t xml:space="preserve">Relecture du code css et harmonisation du site internet </t>
  </si>
  <si>
    <t xml:space="preserve">Création d'une page sur l'historique des roadTrip vu </t>
  </si>
  <si>
    <t>Création d'une focntion permettant le calcul d'une heure d'arrivée en fonction de l'heure de départ et du temps de trajet</t>
  </si>
  <si>
    <t>Ajout du côté responsive au site afin d'augmenter l'accessibilité</t>
  </si>
  <si>
    <t>Implémentation webroot</t>
  </si>
  <si>
    <t>Rédaction doc amélioration</t>
  </si>
  <si>
    <t>Export pdf</t>
  </si>
  <si>
    <t>Connexion via google</t>
  </si>
  <si>
    <t>Migration cakephp</t>
  </si>
  <si>
    <t>Correction css</t>
  </si>
  <si>
    <t xml:space="preserve">Implémentation avis / commentaire </t>
  </si>
  <si>
    <t>Tentative messagerie temps réel avec socket.io + messagerie sécurisée</t>
  </si>
  <si>
    <t>Formulaire inscription connexion</t>
  </si>
  <si>
    <t>Api IA</t>
  </si>
  <si>
    <t>Read me et page de documentation</t>
  </si>
  <si>
    <t>Création d'un roadTrip hors europe</t>
  </si>
  <si>
    <t>Ui crétion Roadtrip</t>
  </si>
  <si>
    <t>Connexion admin</t>
  </si>
  <si>
    <t>Favoris</t>
  </si>
  <si>
    <t>Refonte map.js</t>
  </si>
  <si>
    <t>Export GPX</t>
  </si>
  <si>
    <t xml:space="preserve">Respect convention établie </t>
  </si>
  <si>
    <t>X</t>
  </si>
  <si>
    <t>Mise en place et configuration du répertoire webroot pour structurer l’accès aux ressources publiques de l’application et sécuriser l’environnement.</t>
  </si>
  <si>
    <t>Développement d’un système de messagerie temps réel sécurisé avec gestion des échanges et protection des données transmises.</t>
  </si>
  <si>
    <t>Rédaction d’une documentation présentant les améliorations réalisées, les choix techniques et le suivi du projet.</t>
  </si>
  <si>
    <t>Mise en place d’une fonctionnalité permettant de générer et exporter des documents PDF à partir des données de l’application.</t>
  </si>
  <si>
    <t>Développement d’un système d’historique permettant de conserver et consulter les actions ou modifications effectuées dans l’application.</t>
  </si>
  <si>
    <t>Intégration d’une authentification externe via Google pour simplifier la connexion utilisateur tout en garantissant la sécurité des accès.</t>
  </si>
  <si>
    <t>Migration du projet vers CakePHP en adaptant l’architecture, les fonctionnalités, l’organisation du code et le travail collaboratif.</t>
  </si>
  <si>
    <t>Correction et amélioration de l’interface visuelle pour assurer une meilleure lisibilité, cohérence et expérience utilisateur.</t>
  </si>
  <si>
    <t>Développement d’une fonctionnalité permettant aux utilisateurs de publier et consulter des avis ou commentaires.</t>
  </si>
  <si>
    <t>Création des formulaires d’inscription et de connexion avec gestion sécurisée des données utilisateur.</t>
  </si>
  <si>
    <t>Refonte ou amélioration de l’interface utilisateur dédiée à la création d’un roadtrip et à la description des sous-étapes.</t>
  </si>
  <si>
    <t>Mise en place de la fonctionnalité permettant de créer un roadtrip en dehors de l’Europe avec gestion des données associées.</t>
  </si>
  <si>
    <t>Intégration d’une API d’intelligence artificielle dans l’application afin d’automatiser ou enrichir certaines fonctionnalités.</t>
  </si>
  <si>
    <t>Création du README et d’une page de documentation pour présenter le projet, son installation, son fonctionnement et son organisation.</t>
  </si>
  <si>
    <t>Développement d’un système de connexion dédié à l’administration avec contrôle renforcé des accès et des droits.</t>
  </si>
  <si>
    <t>Ajout d’une fonctionnalité permettant aux utilisateurs d’enregistrer et retrouver leurs éléments favoris.</t>
  </si>
  <si>
    <t>Reprise du fonctionnement de la carte interactive pour améliorer sa structure, ses performances et sa gestion des données.</t>
  </si>
  <si>
    <t>Développement d’un export au format GPX pour permettre la récupération et l’utilisation des trajets dans des outils de navigation.</t>
  </si>
  <si>
    <t>Application des conventions de développement, de nommage et d’organisation définies collectivement dans le cadre du projet.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</si>
</sst>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164" fontId="3" fillId="4" borderId="1" applyAlignment="0"/>
    <xf numFmtId="0" fontId="1" fillId="5" borderId="2">
      <alignment horizontal="center"/>
    </xf>
  </cellStyleXfs>
  <cellXfs count="33">
    <xf numFmtId="0" fontId="0" fillId="0" borderId="0" xfId="0"/>
    <xf numFmtId="9" fontId="0" fillId="0" borderId="0" xfId="1" applyFont="1"/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1" fillId="3" borderId="0" xfId="3"/>
    <xf numFmtId="0" fontId="1" fillId="3" borderId="1" xfId="3" applyBorder="1" applyAlignment="1">
      <alignment horizontal="center"/>
    </xf>
    <xf numFmtId="164" fontId="2" fillId="2" borderId="1" xfId="2" applyNumberFormat="1" applyBorder="1"/>
    <xf numFmtId="164" fontId="2" fillId="2" borderId="1" xfId="2" applyNumberFormat="1" applyBorder="1" applyAlignment="1">
      <alignment horizontal="left"/>
    </xf>
    <xf numFmtId="164" fontId="2" fillId="2" borderId="1" xfId="2" applyNumberFormat="1" applyBorder="1" applyAlignment="1">
      <alignment wrapText="1"/>
    </xf>
    <xf numFmtId="164" fontId="2" fillId="2" borderId="1" xfId="2" applyNumberFormat="1" applyBorder="1" applyAlignment="1">
      <alignment horizontal="center" wrapText="1"/>
    </xf>
    <xf numFmtId="16" fontId="1" fillId="3" borderId="0" xfId="3" applyNumberFormat="1"/>
    <xf numFmtId="0" fontId="2" fillId="2" borderId="1" xfId="2" applyNumberFormat="1" applyBorder="1" applyAlignment="1">
      <alignment wrapText="1"/>
    </xf>
    <xf numFmtId="0" fontId="1" fillId="5" borderId="3" xfId="5" applyBorder="1">
      <alignment horizontal="center"/>
    </xf>
    <xf numFmtId="164" fontId="2" fillId="2" borderId="4" xfId="2" applyNumberFormat="1" applyBorder="1"/>
    <xf numFmtId="164" fontId="2" fillId="2" borderId="5" xfId="2" applyNumberFormat="1" applyBorder="1"/>
    <xf numFmtId="0" fontId="1" fillId="3" borderId="6" xfId="3" applyBorder="1" applyAlignment="1">
      <alignment horizontal="left"/>
    </xf>
    <xf numFmtId="9" fontId="1" fillId="3" borderId="0" xfId="3" applyNumberFormat="1" applyBorder="1" applyAlignment="1">
      <alignment wrapText="1"/>
    </xf>
    <xf numFmtId="9" fontId="1" fillId="3" borderId="0" xfId="3" applyNumberFormat="1" applyBorder="1" applyAlignment="1">
      <alignment horizontal="center" wrapText="1"/>
    </xf>
    <xf numFmtId="0" fontId="1" fillId="3" borderId="7" xfId="3" applyBorder="1" applyAlignment="1">
      <alignment wrapText="1"/>
    </xf>
    <xf numFmtId="0" fontId="0" fillId="0" borderId="6" xfId="0" applyBorder="1" applyAlignment="1">
      <alignment horizontal="left"/>
    </xf>
    <xf numFmtId="0" fontId="1" fillId="5" borderId="2" xfId="5">
      <alignment horizontal="center"/>
    </xf>
    <xf numFmtId="9" fontId="0" fillId="0" borderId="0" xfId="1" applyFont="1" applyBorder="1"/>
    <xf numFmtId="9" fontId="0" fillId="0" borderId="0" xfId="1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 applyAlignment="1">
      <alignment horizontal="left"/>
    </xf>
    <xf numFmtId="9" fontId="0" fillId="0" borderId="9" xfId="1" applyFont="1" applyBorder="1"/>
    <xf numFmtId="0" fontId="0" fillId="0" borderId="10" xfId="0" applyBorder="1"/>
    <xf numFmtId="9" fontId="0" fillId="0" borderId="9" xfId="1" applyFont="1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horizontal="left"/>
    </xf>
    <xf numFmtId="0" fontId="0" fillId="0" borderId="0" xfId="0" applyFill="1" applyBorder="1"/>
    <xf numFmtId="164" fontId="2" fillId="2" borderId="1" xfId="2" applyNumberFormat="1" applyBorder="1" applyAlignment="1">
      <alignment horizontal="center"/>
    </xf>
  </cellXfs>
  <cellStyles count="6">
    <cellStyle name="60 % - Accent1" xfId="3" builtinId="32"/>
    <cellStyle name="Accent1" xfId="2" builtinId="29"/>
    <cellStyle name="Normal" xfId="0" builtinId="0"/>
    <cellStyle name="Pourcentage" xfId="1" builtinId="5"/>
    <cellStyle name="Style 1" xfId="4" xr:uid="{BFDB5BD6-59C9-404E-AC87-EEAF70C3BE7B}"/>
    <cellStyle name="Style 2" xfId="5" xr:uid="{AC692815-0597-4013-942C-7D72EBD20DED}"/>
  </cellStyles>
  <dxfs count="0"/>
  <tableStyles count="0" defaultTableStyle="TableStyleMedium2" defaultPivotStyle="PivotStyleLight16"/>
  <colors>
    <mruColors>
      <color rgb="FFE1C419"/>
      <color rgb="FFC19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EBDE-336F-4590-89A9-BA526850F7C0}">
  <dimension ref="A1:O56"/>
  <sheetViews>
    <sheetView zoomScaleNormal="100" workbookViewId="0">
      <selection activeCell="B25" sqref="B25"/>
    </sheetView>
  </sheetViews>
  <sheetFormatPr baseColWidth="10" defaultRowHeight="15" x14ac:dyDescent="0.25"/>
  <cols>
    <col min="1" max="1" width="16.140625" bestFit="1" customWidth="1"/>
    <col min="2" max="2" width="59.85546875" style="2" bestFit="1" customWidth="1"/>
    <col min="3" max="8" width="2.85546875" bestFit="1" customWidth="1"/>
    <col min="9" max="9" width="12.7109375" style="1" bestFit="1" customWidth="1"/>
    <col min="10" max="10" width="14" style="1" bestFit="1" customWidth="1"/>
    <col min="11" max="11" width="13.7109375" style="1" bestFit="1" customWidth="1"/>
    <col min="12" max="12" width="14.140625" style="1" customWidth="1"/>
    <col min="13" max="13" width="14.140625" style="3" customWidth="1"/>
    <col min="14" max="14" width="134.140625" bestFit="1" customWidth="1"/>
  </cols>
  <sheetData>
    <row r="1" spans="1:15" s="6" customFormat="1" ht="33.75" customHeight="1" x14ac:dyDescent="0.25">
      <c r="A1" s="13" t="s">
        <v>0</v>
      </c>
      <c r="B1" s="7" t="s">
        <v>1</v>
      </c>
      <c r="C1" s="32" t="s">
        <v>2</v>
      </c>
      <c r="D1" s="32"/>
      <c r="E1" s="32"/>
      <c r="F1" s="32"/>
      <c r="G1" s="32"/>
      <c r="H1" s="32"/>
      <c r="I1" s="8" t="s">
        <v>5</v>
      </c>
      <c r="J1" s="8" t="s">
        <v>4</v>
      </c>
      <c r="K1" s="11" t="s">
        <v>3</v>
      </c>
      <c r="L1" s="8" t="s">
        <v>6</v>
      </c>
      <c r="M1" s="9" t="s">
        <v>10</v>
      </c>
      <c r="N1" s="8" t="s">
        <v>7</v>
      </c>
      <c r="O1" s="14"/>
    </row>
    <row r="2" spans="1:15" s="4" customFormat="1" x14ac:dyDescent="0.25">
      <c r="A2" s="10" t="s">
        <v>101</v>
      </c>
      <c r="B2" s="15"/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16"/>
      <c r="J2" s="16"/>
      <c r="K2" s="16"/>
      <c r="L2" s="16"/>
      <c r="M2" s="17"/>
      <c r="N2" s="18"/>
    </row>
    <row r="3" spans="1:15" x14ac:dyDescent="0.25">
      <c r="A3">
        <v>1</v>
      </c>
      <c r="B3" s="19" t="s">
        <v>8</v>
      </c>
      <c r="C3" s="20" t="s">
        <v>54</v>
      </c>
      <c r="D3" s="20"/>
      <c r="E3" s="20"/>
      <c r="F3" s="20"/>
      <c r="G3" s="20" t="s">
        <v>54</v>
      </c>
      <c r="H3" s="20"/>
      <c r="I3" s="21">
        <v>0.2</v>
      </c>
      <c r="J3" s="21">
        <v>0.8</v>
      </c>
      <c r="K3" s="21"/>
      <c r="L3" s="21"/>
      <c r="M3" s="22">
        <f>J3+K3+L3+I3</f>
        <v>1</v>
      </c>
      <c r="N3" s="23" t="s">
        <v>58</v>
      </c>
    </row>
    <row r="4" spans="1:15" x14ac:dyDescent="0.25">
      <c r="A4">
        <v>1</v>
      </c>
      <c r="B4" s="19" t="s">
        <v>9</v>
      </c>
      <c r="C4" s="20" t="s">
        <v>54</v>
      </c>
      <c r="D4" s="20"/>
      <c r="E4" s="20"/>
      <c r="F4" s="20"/>
      <c r="G4" s="20" t="s">
        <v>54</v>
      </c>
      <c r="H4" s="20"/>
      <c r="I4" s="21">
        <v>0.2</v>
      </c>
      <c r="J4" s="21">
        <v>0.8</v>
      </c>
      <c r="K4" s="21"/>
      <c r="L4" s="21"/>
      <c r="M4" s="22">
        <f t="shared" ref="M4:M56" si="0">J4+K4+L4+I4</f>
        <v>1</v>
      </c>
      <c r="N4" s="23" t="s">
        <v>59</v>
      </c>
    </row>
    <row r="5" spans="1:15" x14ac:dyDescent="0.25">
      <c r="A5">
        <v>1</v>
      </c>
      <c r="B5" s="19" t="s">
        <v>61</v>
      </c>
      <c r="C5" s="20" t="s">
        <v>54</v>
      </c>
      <c r="D5" s="20"/>
      <c r="E5" s="20" t="s">
        <v>54</v>
      </c>
      <c r="F5" s="20" t="s">
        <v>54</v>
      </c>
      <c r="G5" s="20"/>
      <c r="H5" s="20"/>
      <c r="I5" s="21">
        <v>1</v>
      </c>
      <c r="J5" s="21"/>
      <c r="K5" s="21"/>
      <c r="L5" s="21"/>
      <c r="M5" s="22">
        <f t="shared" si="0"/>
        <v>1</v>
      </c>
      <c r="N5" s="23" t="s">
        <v>60</v>
      </c>
    </row>
    <row r="6" spans="1:15" x14ac:dyDescent="0.25">
      <c r="A6">
        <v>3</v>
      </c>
      <c r="B6" s="19" t="s">
        <v>11</v>
      </c>
      <c r="C6" s="20" t="s">
        <v>54</v>
      </c>
      <c r="D6" s="20"/>
      <c r="E6" s="20"/>
      <c r="F6" s="20"/>
      <c r="G6" s="20"/>
      <c r="H6" s="20"/>
      <c r="I6" s="21"/>
      <c r="J6" s="21"/>
      <c r="K6" s="21">
        <v>1</v>
      </c>
      <c r="L6" s="21"/>
      <c r="M6" s="22">
        <f t="shared" si="0"/>
        <v>1</v>
      </c>
      <c r="N6" s="23" t="s">
        <v>62</v>
      </c>
    </row>
    <row r="7" spans="1:15" x14ac:dyDescent="0.25">
      <c r="A7">
        <v>1</v>
      </c>
      <c r="B7" s="19" t="s">
        <v>12</v>
      </c>
      <c r="C7" s="20"/>
      <c r="D7" s="20"/>
      <c r="E7" s="20" t="s">
        <v>54</v>
      </c>
      <c r="F7" s="20" t="s">
        <v>54</v>
      </c>
      <c r="G7" s="20" t="s">
        <v>54</v>
      </c>
      <c r="H7" s="20"/>
      <c r="I7" s="21">
        <v>0.4</v>
      </c>
      <c r="J7" s="21">
        <v>0.2</v>
      </c>
      <c r="K7" s="21">
        <v>0.4</v>
      </c>
      <c r="L7" s="21"/>
      <c r="M7" s="22">
        <f t="shared" si="0"/>
        <v>1</v>
      </c>
      <c r="N7" s="23" t="s">
        <v>63</v>
      </c>
    </row>
    <row r="8" spans="1:15" x14ac:dyDescent="0.25">
      <c r="A8">
        <v>2</v>
      </c>
      <c r="B8" s="19" t="s">
        <v>13</v>
      </c>
      <c r="C8" s="20" t="s">
        <v>54</v>
      </c>
      <c r="D8" s="20"/>
      <c r="E8" s="20" t="s">
        <v>54</v>
      </c>
      <c r="F8" s="20" t="s">
        <v>54</v>
      </c>
      <c r="G8" s="20"/>
      <c r="H8" s="20"/>
      <c r="I8" s="21">
        <v>0.5</v>
      </c>
      <c r="J8" s="21">
        <v>0.5</v>
      </c>
      <c r="K8" s="21"/>
      <c r="L8" s="21"/>
      <c r="M8" s="22">
        <f t="shared" si="0"/>
        <v>1</v>
      </c>
      <c r="N8" s="23" t="s">
        <v>64</v>
      </c>
    </row>
    <row r="9" spans="1:15" x14ac:dyDescent="0.25">
      <c r="A9">
        <v>2</v>
      </c>
      <c r="B9" s="19" t="s">
        <v>14</v>
      </c>
      <c r="C9" s="20" t="s">
        <v>54</v>
      </c>
      <c r="D9" s="20" t="s">
        <v>54</v>
      </c>
      <c r="E9" s="20"/>
      <c r="F9" s="20" t="s">
        <v>54</v>
      </c>
      <c r="G9" s="20"/>
      <c r="H9" s="20"/>
      <c r="I9" s="21"/>
      <c r="J9" s="21">
        <v>1</v>
      </c>
      <c r="K9" s="21"/>
      <c r="L9" s="21"/>
      <c r="M9" s="22">
        <f t="shared" si="0"/>
        <v>1</v>
      </c>
      <c r="N9" s="23" t="s">
        <v>64</v>
      </c>
    </row>
    <row r="10" spans="1:15" x14ac:dyDescent="0.25">
      <c r="A10">
        <v>2</v>
      </c>
      <c r="B10" s="19" t="s">
        <v>55</v>
      </c>
      <c r="C10" s="20" t="s">
        <v>54</v>
      </c>
      <c r="D10" s="20" t="s">
        <v>54</v>
      </c>
      <c r="E10" s="20"/>
      <c r="F10" s="20" t="s">
        <v>54</v>
      </c>
      <c r="G10" s="20"/>
      <c r="H10" s="20"/>
      <c r="I10" s="21">
        <v>1</v>
      </c>
      <c r="J10" s="21"/>
      <c r="K10" s="21"/>
      <c r="L10" s="21"/>
      <c r="M10" s="22">
        <f t="shared" si="0"/>
        <v>1</v>
      </c>
      <c r="N10" s="23" t="s">
        <v>65</v>
      </c>
    </row>
    <row r="11" spans="1:15" x14ac:dyDescent="0.25">
      <c r="A11">
        <v>3</v>
      </c>
      <c r="B11" s="19" t="s">
        <v>42</v>
      </c>
      <c r="C11" s="20" t="s">
        <v>54</v>
      </c>
      <c r="D11" s="20" t="s">
        <v>54</v>
      </c>
      <c r="E11" s="20"/>
      <c r="F11" s="20" t="s">
        <v>54</v>
      </c>
      <c r="G11" s="20"/>
      <c r="H11" s="20"/>
      <c r="I11" s="21"/>
      <c r="J11" s="21"/>
      <c r="K11" s="21">
        <v>1</v>
      </c>
      <c r="L11" s="21"/>
      <c r="M11" s="22">
        <f t="shared" si="0"/>
        <v>1</v>
      </c>
      <c r="N11" s="23" t="s">
        <v>66</v>
      </c>
    </row>
    <row r="12" spans="1:15" x14ac:dyDescent="0.25">
      <c r="A12">
        <v>1</v>
      </c>
      <c r="B12" s="19" t="s">
        <v>15</v>
      </c>
      <c r="C12" s="20" t="s">
        <v>54</v>
      </c>
      <c r="D12" s="20"/>
      <c r="E12" s="20" t="s">
        <v>54</v>
      </c>
      <c r="F12" s="20" t="s">
        <v>54</v>
      </c>
      <c r="G12" s="20"/>
      <c r="H12" s="20"/>
      <c r="I12" s="21">
        <v>1</v>
      </c>
      <c r="J12" s="21"/>
      <c r="K12" s="21"/>
      <c r="L12" s="21"/>
      <c r="M12" s="22">
        <f t="shared" si="0"/>
        <v>1</v>
      </c>
      <c r="N12" s="23" t="s">
        <v>67</v>
      </c>
    </row>
    <row r="13" spans="1:15" x14ac:dyDescent="0.25">
      <c r="A13">
        <v>1</v>
      </c>
      <c r="B13" s="19" t="s">
        <v>16</v>
      </c>
      <c r="C13" s="20"/>
      <c r="D13" s="20"/>
      <c r="E13" s="20" t="s">
        <v>54</v>
      </c>
      <c r="F13" s="20"/>
      <c r="G13" s="20"/>
      <c r="H13" s="20"/>
      <c r="I13" s="21">
        <v>1</v>
      </c>
      <c r="J13" s="21"/>
      <c r="K13" s="21"/>
      <c r="L13" s="21"/>
      <c r="M13" s="22">
        <f t="shared" si="0"/>
        <v>1</v>
      </c>
      <c r="N13" s="23" t="s">
        <v>68</v>
      </c>
    </row>
    <row r="14" spans="1:15" ht="16.5" customHeight="1" x14ac:dyDescent="0.25">
      <c r="A14">
        <v>4</v>
      </c>
      <c r="B14" s="19" t="s">
        <v>17</v>
      </c>
      <c r="C14" s="20" t="s">
        <v>54</v>
      </c>
      <c r="D14" s="20"/>
      <c r="E14" s="20"/>
      <c r="F14" s="20"/>
      <c r="G14" s="20" t="s">
        <v>54</v>
      </c>
      <c r="H14" s="20"/>
      <c r="I14" s="21"/>
      <c r="J14" s="21">
        <v>1</v>
      </c>
      <c r="K14" s="21"/>
      <c r="L14" s="21"/>
      <c r="M14" s="22">
        <f t="shared" si="0"/>
        <v>1</v>
      </c>
      <c r="N14" s="23" t="s">
        <v>69</v>
      </c>
    </row>
    <row r="15" spans="1:15" x14ac:dyDescent="0.25">
      <c r="A15">
        <v>4</v>
      </c>
      <c r="B15" s="19" t="s">
        <v>18</v>
      </c>
      <c r="C15" s="20" t="s">
        <v>54</v>
      </c>
      <c r="D15" s="20"/>
      <c r="E15" s="20"/>
      <c r="F15" s="20"/>
      <c r="G15" s="20" t="s">
        <v>54</v>
      </c>
      <c r="H15" s="20"/>
      <c r="I15" s="21">
        <v>0.5</v>
      </c>
      <c r="J15" s="21">
        <v>0.5</v>
      </c>
      <c r="K15" s="21"/>
      <c r="L15" s="21"/>
      <c r="M15" s="22">
        <f t="shared" si="0"/>
        <v>1</v>
      </c>
      <c r="N15" s="23" t="s">
        <v>70</v>
      </c>
    </row>
    <row r="16" spans="1:15" x14ac:dyDescent="0.25">
      <c r="A16">
        <v>1</v>
      </c>
      <c r="B16" s="19" t="s">
        <v>19</v>
      </c>
      <c r="C16" s="20" t="s">
        <v>54</v>
      </c>
      <c r="D16" s="20"/>
      <c r="E16" s="20"/>
      <c r="F16" s="20"/>
      <c r="G16" s="20" t="s">
        <v>54</v>
      </c>
      <c r="H16" s="20"/>
      <c r="I16" s="21"/>
      <c r="J16" s="21"/>
      <c r="K16" s="21">
        <v>1</v>
      </c>
      <c r="L16" s="21"/>
      <c r="M16" s="22">
        <f t="shared" si="0"/>
        <v>1</v>
      </c>
      <c r="N16" s="23" t="s">
        <v>71</v>
      </c>
    </row>
    <row r="17" spans="1:14" x14ac:dyDescent="0.25">
      <c r="A17">
        <v>3</v>
      </c>
      <c r="B17" s="19" t="s">
        <v>20</v>
      </c>
      <c r="C17" s="20" t="s">
        <v>54</v>
      </c>
      <c r="D17" s="20"/>
      <c r="E17" s="20" t="s">
        <v>54</v>
      </c>
      <c r="F17" s="20"/>
      <c r="G17" s="20"/>
      <c r="H17" s="20"/>
      <c r="I17" s="21"/>
      <c r="J17" s="21"/>
      <c r="K17" s="21">
        <v>1</v>
      </c>
      <c r="L17" s="21"/>
      <c r="M17" s="22">
        <f t="shared" si="0"/>
        <v>1</v>
      </c>
      <c r="N17" s="23" t="s">
        <v>72</v>
      </c>
    </row>
    <row r="18" spans="1:14" x14ac:dyDescent="0.25">
      <c r="A18">
        <v>3</v>
      </c>
      <c r="B18" s="19" t="s">
        <v>21</v>
      </c>
      <c r="C18" s="20"/>
      <c r="D18" s="20"/>
      <c r="E18" s="20" t="s">
        <v>54</v>
      </c>
      <c r="F18" s="20"/>
      <c r="G18" s="20"/>
      <c r="H18" s="20"/>
      <c r="I18" s="21"/>
      <c r="J18" s="21"/>
      <c r="K18" s="21">
        <v>1</v>
      </c>
      <c r="L18" s="21"/>
      <c r="M18" s="22">
        <f t="shared" si="0"/>
        <v>1</v>
      </c>
      <c r="N18" s="23" t="s">
        <v>73</v>
      </c>
    </row>
    <row r="19" spans="1:14" x14ac:dyDescent="0.25">
      <c r="A19">
        <v>4</v>
      </c>
      <c r="B19" s="19" t="s">
        <v>39</v>
      </c>
      <c r="C19" s="20"/>
      <c r="D19" s="20"/>
      <c r="E19" s="20"/>
      <c r="F19" s="20" t="s">
        <v>54</v>
      </c>
      <c r="G19" s="20"/>
      <c r="H19" s="20"/>
      <c r="I19" s="21">
        <v>1</v>
      </c>
      <c r="J19" s="21"/>
      <c r="K19" s="21"/>
      <c r="L19" s="21"/>
      <c r="M19" s="22">
        <f t="shared" si="0"/>
        <v>1</v>
      </c>
      <c r="N19" s="23" t="s">
        <v>74</v>
      </c>
    </row>
    <row r="20" spans="1:14" x14ac:dyDescent="0.25">
      <c r="A20">
        <v>4</v>
      </c>
      <c r="B20" s="19" t="s">
        <v>22</v>
      </c>
      <c r="C20" s="20" t="s">
        <v>54</v>
      </c>
      <c r="D20" s="20"/>
      <c r="E20" s="20" t="s">
        <v>54</v>
      </c>
      <c r="F20" s="20"/>
      <c r="G20" s="20"/>
      <c r="H20" s="20"/>
      <c r="I20" s="21">
        <v>1</v>
      </c>
      <c r="J20" s="21"/>
      <c r="K20" s="21"/>
      <c r="L20" s="21"/>
      <c r="M20" s="22">
        <f t="shared" si="0"/>
        <v>1</v>
      </c>
      <c r="N20" s="23" t="s">
        <v>75</v>
      </c>
    </row>
    <row r="21" spans="1:14" x14ac:dyDescent="0.25">
      <c r="A21">
        <v>2</v>
      </c>
      <c r="B21" s="19" t="s">
        <v>23</v>
      </c>
      <c r="C21" s="20" t="s">
        <v>54</v>
      </c>
      <c r="D21" s="20" t="s">
        <v>54</v>
      </c>
      <c r="E21" s="20"/>
      <c r="F21" s="20"/>
      <c r="G21" s="20"/>
      <c r="H21" s="20"/>
      <c r="I21" s="21"/>
      <c r="J21" s="21"/>
      <c r="K21" s="21">
        <v>1</v>
      </c>
      <c r="L21" s="21"/>
      <c r="M21" s="22">
        <f t="shared" si="0"/>
        <v>1</v>
      </c>
      <c r="N21" s="23" t="s">
        <v>76</v>
      </c>
    </row>
    <row r="22" spans="1:14" x14ac:dyDescent="0.25">
      <c r="A22">
        <v>2</v>
      </c>
      <c r="B22" s="19" t="s">
        <v>24</v>
      </c>
      <c r="C22" s="20" t="s">
        <v>54</v>
      </c>
      <c r="D22" s="20"/>
      <c r="E22" s="20"/>
      <c r="F22" s="20"/>
      <c r="G22" s="20"/>
      <c r="H22" s="20"/>
      <c r="I22" s="21"/>
      <c r="J22" s="21"/>
      <c r="K22" s="21">
        <v>1</v>
      </c>
      <c r="L22" s="21"/>
      <c r="M22" s="22">
        <f t="shared" si="0"/>
        <v>1</v>
      </c>
      <c r="N22" s="23" t="s">
        <v>77</v>
      </c>
    </row>
    <row r="23" spans="1:14" x14ac:dyDescent="0.25">
      <c r="A23">
        <v>2</v>
      </c>
      <c r="B23" s="19" t="s">
        <v>25</v>
      </c>
      <c r="C23" s="20" t="s">
        <v>54</v>
      </c>
      <c r="D23" s="20"/>
      <c r="E23" s="20" t="s">
        <v>54</v>
      </c>
      <c r="F23" s="20" t="s">
        <v>54</v>
      </c>
      <c r="G23" s="20" t="s">
        <v>54</v>
      </c>
      <c r="H23" s="20"/>
      <c r="I23" s="21">
        <v>1</v>
      </c>
      <c r="J23" s="21"/>
      <c r="K23" s="21"/>
      <c r="L23" s="21"/>
      <c r="M23" s="22">
        <f t="shared" si="0"/>
        <v>1</v>
      </c>
      <c r="N23" s="23" t="s">
        <v>78</v>
      </c>
    </row>
    <row r="24" spans="1:14" x14ac:dyDescent="0.25">
      <c r="A24">
        <v>1</v>
      </c>
      <c r="B24" s="19" t="s">
        <v>26</v>
      </c>
      <c r="C24" s="20"/>
      <c r="D24" s="20"/>
      <c r="E24" s="20"/>
      <c r="F24" s="20"/>
      <c r="G24" s="20" t="s">
        <v>54</v>
      </c>
      <c r="H24" s="20" t="s">
        <v>54</v>
      </c>
      <c r="I24" s="21">
        <v>0.33333333333333337</v>
      </c>
      <c r="J24" s="21">
        <v>0.33333333333333337</v>
      </c>
      <c r="K24" s="21">
        <v>0.33333333333333337</v>
      </c>
      <c r="L24" s="21"/>
      <c r="M24" s="22">
        <f t="shared" si="0"/>
        <v>1</v>
      </c>
      <c r="N24" s="23" t="s">
        <v>79</v>
      </c>
    </row>
    <row r="25" spans="1:14" x14ac:dyDescent="0.25">
      <c r="A25">
        <v>2</v>
      </c>
      <c r="B25" s="19" t="s">
        <v>27</v>
      </c>
      <c r="C25" s="20" t="s">
        <v>54</v>
      </c>
      <c r="D25" s="20"/>
      <c r="E25" s="20"/>
      <c r="F25" s="20" t="s">
        <v>54</v>
      </c>
      <c r="G25" s="20"/>
      <c r="H25" s="20"/>
      <c r="I25" s="21">
        <v>1</v>
      </c>
      <c r="J25" s="21"/>
      <c r="K25" s="21"/>
      <c r="L25" s="21"/>
      <c r="M25" s="22">
        <f t="shared" si="0"/>
        <v>1</v>
      </c>
      <c r="N25" s="23" t="s">
        <v>80</v>
      </c>
    </row>
    <row r="26" spans="1:14" x14ac:dyDescent="0.25">
      <c r="A26">
        <v>3</v>
      </c>
      <c r="B26" s="19" t="s">
        <v>28</v>
      </c>
      <c r="C26" s="20" t="s">
        <v>54</v>
      </c>
      <c r="D26" s="20" t="s">
        <v>54</v>
      </c>
      <c r="E26" s="20"/>
      <c r="F26" s="20"/>
      <c r="G26" s="20"/>
      <c r="H26" s="20"/>
      <c r="I26" s="21">
        <v>1</v>
      </c>
      <c r="J26" s="21"/>
      <c r="K26" s="21"/>
      <c r="L26" s="21"/>
      <c r="M26" s="22">
        <f t="shared" si="0"/>
        <v>1</v>
      </c>
      <c r="N26" s="23" t="s">
        <v>81</v>
      </c>
    </row>
    <row r="27" spans="1:14" x14ac:dyDescent="0.25">
      <c r="A27">
        <v>2</v>
      </c>
      <c r="B27" s="19" t="s">
        <v>105</v>
      </c>
      <c r="C27" s="20" t="s">
        <v>54</v>
      </c>
      <c r="D27" s="20"/>
      <c r="E27" s="20" t="s">
        <v>54</v>
      </c>
      <c r="F27" s="20" t="s">
        <v>54</v>
      </c>
      <c r="G27" s="20"/>
      <c r="H27" s="20"/>
      <c r="I27" s="21">
        <v>1</v>
      </c>
      <c r="J27" s="21"/>
      <c r="K27" s="21"/>
      <c r="L27" s="21"/>
      <c r="M27" s="22">
        <f t="shared" si="0"/>
        <v>1</v>
      </c>
      <c r="N27" s="23" t="s">
        <v>82</v>
      </c>
    </row>
    <row r="28" spans="1:14" x14ac:dyDescent="0.25">
      <c r="A28">
        <v>2</v>
      </c>
      <c r="B28" s="19" t="s">
        <v>29</v>
      </c>
      <c r="C28" s="20" t="s">
        <v>54</v>
      </c>
      <c r="D28" s="20"/>
      <c r="E28" s="20"/>
      <c r="F28" s="20" t="s">
        <v>54</v>
      </c>
      <c r="G28" s="20"/>
      <c r="H28" s="20"/>
      <c r="I28" s="21">
        <v>1</v>
      </c>
      <c r="J28" s="21"/>
      <c r="K28" s="21"/>
      <c r="L28" s="21"/>
      <c r="M28" s="22">
        <f t="shared" si="0"/>
        <v>1</v>
      </c>
      <c r="N28" s="23" t="s">
        <v>108</v>
      </c>
    </row>
    <row r="29" spans="1:14" x14ac:dyDescent="0.25">
      <c r="A29">
        <v>1</v>
      </c>
      <c r="B29" s="19" t="s">
        <v>57</v>
      </c>
      <c r="C29" s="20"/>
      <c r="D29" s="20"/>
      <c r="E29" s="20"/>
      <c r="F29" s="20"/>
      <c r="G29" s="20" t="s">
        <v>54</v>
      </c>
      <c r="H29" s="20"/>
      <c r="I29" s="21">
        <v>1</v>
      </c>
      <c r="J29" s="21"/>
      <c r="K29" s="21"/>
      <c r="L29" s="21"/>
      <c r="M29" s="22">
        <f t="shared" si="0"/>
        <v>1</v>
      </c>
      <c r="N29" s="23" t="s">
        <v>83</v>
      </c>
    </row>
    <row r="30" spans="1:14" x14ac:dyDescent="0.25">
      <c r="A30">
        <v>2</v>
      </c>
      <c r="B30" s="19" t="s">
        <v>30</v>
      </c>
      <c r="C30" s="20" t="s">
        <v>54</v>
      </c>
      <c r="D30" s="20"/>
      <c r="E30" s="20"/>
      <c r="F30" s="20"/>
      <c r="G30" s="20" t="s">
        <v>54</v>
      </c>
      <c r="H30" s="20"/>
      <c r="I30" s="21">
        <v>1</v>
      </c>
      <c r="J30" s="21"/>
      <c r="K30" s="21"/>
      <c r="L30" s="21"/>
      <c r="M30" s="22">
        <f t="shared" si="0"/>
        <v>1</v>
      </c>
      <c r="N30" s="23" t="s">
        <v>84</v>
      </c>
    </row>
    <row r="31" spans="1:14" x14ac:dyDescent="0.25">
      <c r="A31">
        <v>1</v>
      </c>
      <c r="B31" s="19" t="s">
        <v>31</v>
      </c>
      <c r="C31" s="20" t="s">
        <v>54</v>
      </c>
      <c r="D31" s="20"/>
      <c r="E31" s="20" t="s">
        <v>54</v>
      </c>
      <c r="F31" s="20"/>
      <c r="G31" s="20"/>
      <c r="H31" s="20"/>
      <c r="I31" s="21">
        <v>1</v>
      </c>
      <c r="J31" s="21"/>
      <c r="K31" s="21"/>
      <c r="L31" s="21"/>
      <c r="M31" s="22">
        <f t="shared" si="0"/>
        <v>1</v>
      </c>
      <c r="N31" s="23" t="s">
        <v>85</v>
      </c>
    </row>
    <row r="32" spans="1:14" x14ac:dyDescent="0.25">
      <c r="A32">
        <v>2</v>
      </c>
      <c r="B32" s="19" t="s">
        <v>32</v>
      </c>
      <c r="C32" s="20" t="s">
        <v>54</v>
      </c>
      <c r="D32" s="20"/>
      <c r="E32" s="20" t="s">
        <v>54</v>
      </c>
      <c r="F32" s="20"/>
      <c r="G32" s="20"/>
      <c r="H32" s="20"/>
      <c r="I32" s="21">
        <v>0.2</v>
      </c>
      <c r="J32" s="21"/>
      <c r="K32" s="21">
        <v>0.8</v>
      </c>
      <c r="L32" s="21"/>
      <c r="M32" s="22">
        <f t="shared" si="0"/>
        <v>1</v>
      </c>
      <c r="N32" s="23" t="s">
        <v>86</v>
      </c>
    </row>
    <row r="33" spans="1:14" x14ac:dyDescent="0.25">
      <c r="A33">
        <v>1</v>
      </c>
      <c r="B33" s="19" t="s">
        <v>33</v>
      </c>
      <c r="C33" s="20" t="s">
        <v>54</v>
      </c>
      <c r="D33" s="20"/>
      <c r="E33" s="20" t="s">
        <v>54</v>
      </c>
      <c r="F33" s="20"/>
      <c r="G33" s="20"/>
      <c r="H33" s="20"/>
      <c r="I33" s="21">
        <v>0.5</v>
      </c>
      <c r="J33" s="21"/>
      <c r="K33" s="21">
        <v>0.5</v>
      </c>
      <c r="L33" s="21"/>
      <c r="M33" s="22">
        <f t="shared" si="0"/>
        <v>1</v>
      </c>
      <c r="N33" s="23" t="s">
        <v>87</v>
      </c>
    </row>
    <row r="34" spans="1:14" x14ac:dyDescent="0.25">
      <c r="A34">
        <v>1</v>
      </c>
      <c r="B34" s="19" t="s">
        <v>34</v>
      </c>
      <c r="C34" s="20"/>
      <c r="D34" s="20" t="s">
        <v>54</v>
      </c>
      <c r="E34" s="20"/>
      <c r="F34" s="20"/>
      <c r="G34" s="20"/>
      <c r="H34" s="20"/>
      <c r="I34" s="21">
        <v>0.33333333333333337</v>
      </c>
      <c r="J34" s="21">
        <v>0.33333333333333337</v>
      </c>
      <c r="K34" s="21">
        <v>0.33333333333333337</v>
      </c>
      <c r="L34" s="21"/>
      <c r="M34" s="22">
        <f t="shared" si="0"/>
        <v>1</v>
      </c>
      <c r="N34" s="23" t="s">
        <v>88</v>
      </c>
    </row>
    <row r="35" spans="1:14" x14ac:dyDescent="0.25">
      <c r="A35">
        <v>1</v>
      </c>
      <c r="B35" s="19" t="s">
        <v>35</v>
      </c>
      <c r="C35" s="20"/>
      <c r="D35" s="20"/>
      <c r="E35" s="20" t="s">
        <v>54</v>
      </c>
      <c r="F35" s="20"/>
      <c r="G35" s="20"/>
      <c r="H35" s="20"/>
      <c r="I35" s="21">
        <v>0.7</v>
      </c>
      <c r="J35" s="21"/>
      <c r="K35" s="21">
        <v>0.3</v>
      </c>
      <c r="L35" s="21"/>
      <c r="M35" s="22">
        <f t="shared" si="0"/>
        <v>1</v>
      </c>
      <c r="N35" s="23" t="s">
        <v>89</v>
      </c>
    </row>
    <row r="36" spans="1:14" x14ac:dyDescent="0.25">
      <c r="A36">
        <v>3</v>
      </c>
      <c r="B36" s="19" t="s">
        <v>36</v>
      </c>
      <c r="C36" s="20" t="s">
        <v>54</v>
      </c>
      <c r="D36" s="20" t="s">
        <v>54</v>
      </c>
      <c r="E36" s="20"/>
      <c r="F36" s="20"/>
      <c r="G36" s="20"/>
      <c r="H36" s="20"/>
      <c r="I36" s="21"/>
      <c r="J36" s="21"/>
      <c r="K36" s="21">
        <v>1</v>
      </c>
      <c r="L36" s="21"/>
      <c r="M36" s="22">
        <f t="shared" si="0"/>
        <v>1</v>
      </c>
      <c r="N36" s="23" t="s">
        <v>90</v>
      </c>
    </row>
    <row r="37" spans="1:14" x14ac:dyDescent="0.25">
      <c r="A37">
        <v>3</v>
      </c>
      <c r="B37" s="19" t="s">
        <v>37</v>
      </c>
      <c r="C37" s="20" t="s">
        <v>54</v>
      </c>
      <c r="D37" s="20"/>
      <c r="E37" s="20"/>
      <c r="F37" s="20" t="s">
        <v>54</v>
      </c>
      <c r="G37" s="20"/>
      <c r="H37" s="20"/>
      <c r="I37" s="21"/>
      <c r="J37" s="21"/>
      <c r="K37" s="21">
        <v>1</v>
      </c>
      <c r="L37" s="21"/>
      <c r="M37" s="22">
        <f t="shared" si="0"/>
        <v>1</v>
      </c>
      <c r="N37" s="23" t="s">
        <v>91</v>
      </c>
    </row>
    <row r="38" spans="1:14" x14ac:dyDescent="0.25">
      <c r="A38">
        <v>3</v>
      </c>
      <c r="B38" s="19" t="s">
        <v>38</v>
      </c>
      <c r="C38" s="20" t="s">
        <v>54</v>
      </c>
      <c r="D38" s="20"/>
      <c r="E38" s="20"/>
      <c r="F38" s="20"/>
      <c r="G38" s="20"/>
      <c r="H38" s="20"/>
      <c r="I38" s="21"/>
      <c r="J38" s="21"/>
      <c r="K38" s="21">
        <v>1</v>
      </c>
      <c r="L38" s="21"/>
      <c r="M38" s="22">
        <f t="shared" si="0"/>
        <v>1</v>
      </c>
      <c r="N38" s="23" t="s">
        <v>92</v>
      </c>
    </row>
    <row r="39" spans="1:14" x14ac:dyDescent="0.25">
      <c r="A39">
        <v>2</v>
      </c>
      <c r="B39" s="19" t="s">
        <v>40</v>
      </c>
      <c r="C39" s="20" t="s">
        <v>54</v>
      </c>
      <c r="D39" s="20"/>
      <c r="E39" s="20"/>
      <c r="F39" s="20" t="s">
        <v>54</v>
      </c>
      <c r="G39" s="20"/>
      <c r="H39" s="20"/>
      <c r="I39" s="21">
        <v>1</v>
      </c>
      <c r="J39" s="21"/>
      <c r="K39" s="21"/>
      <c r="L39" s="21"/>
      <c r="M39" s="22">
        <f t="shared" si="0"/>
        <v>1</v>
      </c>
      <c r="N39" s="23" t="s">
        <v>93</v>
      </c>
    </row>
    <row r="40" spans="1:14" x14ac:dyDescent="0.25">
      <c r="A40">
        <v>3</v>
      </c>
      <c r="B40" s="19" t="s">
        <v>41</v>
      </c>
      <c r="C40" s="20" t="s">
        <v>54</v>
      </c>
      <c r="D40" s="20" t="s">
        <v>54</v>
      </c>
      <c r="E40" s="20"/>
      <c r="F40" s="20"/>
      <c r="G40" s="20"/>
      <c r="H40" s="20"/>
      <c r="I40" s="21"/>
      <c r="J40" s="21"/>
      <c r="K40" s="21">
        <v>1</v>
      </c>
      <c r="L40" s="21"/>
      <c r="M40" s="22">
        <f t="shared" si="0"/>
        <v>1</v>
      </c>
      <c r="N40" s="23" t="s">
        <v>94</v>
      </c>
    </row>
    <row r="41" spans="1:14" x14ac:dyDescent="0.25">
      <c r="A41">
        <v>1</v>
      </c>
      <c r="B41" s="24" t="s">
        <v>43</v>
      </c>
      <c r="C41" s="20" t="s">
        <v>54</v>
      </c>
      <c r="D41" s="20"/>
      <c r="E41" s="20" t="s">
        <v>54</v>
      </c>
      <c r="F41" s="20" t="s">
        <v>54</v>
      </c>
      <c r="G41" s="20"/>
      <c r="H41" s="20"/>
      <c r="I41" s="21">
        <v>0.5</v>
      </c>
      <c r="J41" s="21"/>
      <c r="K41" s="21">
        <v>0.5</v>
      </c>
      <c r="L41" s="21"/>
      <c r="M41" s="22">
        <f t="shared" si="0"/>
        <v>1</v>
      </c>
      <c r="N41" s="23" t="s">
        <v>95</v>
      </c>
    </row>
    <row r="42" spans="1:14" x14ac:dyDescent="0.25">
      <c r="A42">
        <v>1</v>
      </c>
      <c r="B42" s="24" t="s">
        <v>44</v>
      </c>
      <c r="C42" s="20"/>
      <c r="D42" s="20"/>
      <c r="E42" s="20" t="s">
        <v>54</v>
      </c>
      <c r="F42" s="20" t="s">
        <v>54</v>
      </c>
      <c r="G42" s="20"/>
      <c r="H42" s="20"/>
      <c r="I42" s="21">
        <v>0.5</v>
      </c>
      <c r="J42" s="21"/>
      <c r="K42" s="21">
        <v>0.5</v>
      </c>
      <c r="L42" s="21"/>
      <c r="M42" s="22">
        <f t="shared" si="0"/>
        <v>1</v>
      </c>
      <c r="N42" s="23" t="s">
        <v>96</v>
      </c>
    </row>
    <row r="43" spans="1:14" x14ac:dyDescent="0.25">
      <c r="A43">
        <v>1</v>
      </c>
      <c r="B43" s="24" t="s">
        <v>45</v>
      </c>
      <c r="C43" s="20"/>
      <c r="D43" s="20"/>
      <c r="E43" s="20" t="s">
        <v>54</v>
      </c>
      <c r="F43" s="20" t="s">
        <v>54</v>
      </c>
      <c r="G43" s="20"/>
      <c r="H43" s="20"/>
      <c r="I43" s="21">
        <v>1</v>
      </c>
      <c r="J43" s="21"/>
      <c r="K43" s="21"/>
      <c r="L43" s="21"/>
      <c r="M43" s="22">
        <f t="shared" si="0"/>
        <v>1</v>
      </c>
      <c r="N43" s="23" t="s">
        <v>97</v>
      </c>
    </row>
    <row r="44" spans="1:14" x14ac:dyDescent="0.25">
      <c r="A44">
        <v>1</v>
      </c>
      <c r="B44" s="24" t="s">
        <v>46</v>
      </c>
      <c r="C44" s="20" t="s">
        <v>54</v>
      </c>
      <c r="D44" s="20"/>
      <c r="E44" s="20"/>
      <c r="F44" s="20"/>
      <c r="G44" s="20"/>
      <c r="H44" s="20"/>
      <c r="I44" s="21">
        <v>0.4</v>
      </c>
      <c r="J44" s="21">
        <v>0.2</v>
      </c>
      <c r="K44" s="21">
        <v>0.4</v>
      </c>
      <c r="L44" s="21"/>
      <c r="M44" s="22">
        <f t="shared" si="0"/>
        <v>1</v>
      </c>
      <c r="N44" s="23" t="s">
        <v>98</v>
      </c>
    </row>
    <row r="45" spans="1:14" x14ac:dyDescent="0.25">
      <c r="A45">
        <v>3</v>
      </c>
      <c r="B45" s="24" t="s">
        <v>47</v>
      </c>
      <c r="C45" s="20" t="s">
        <v>54</v>
      </c>
      <c r="D45" s="20"/>
      <c r="E45" s="20" t="s">
        <v>54</v>
      </c>
      <c r="F45" s="20"/>
      <c r="G45" s="20"/>
      <c r="H45" s="20"/>
      <c r="I45" s="21">
        <v>1</v>
      </c>
      <c r="J45" s="21"/>
      <c r="K45" s="21"/>
      <c r="L45" s="21"/>
      <c r="M45" s="22">
        <f t="shared" si="0"/>
        <v>1</v>
      </c>
      <c r="N45" s="23" t="s">
        <v>99</v>
      </c>
    </row>
    <row r="46" spans="1:14" x14ac:dyDescent="0.25">
      <c r="A46">
        <v>1</v>
      </c>
      <c r="B46" s="19" t="s">
        <v>56</v>
      </c>
      <c r="C46" s="20"/>
      <c r="D46" s="20"/>
      <c r="E46" s="20"/>
      <c r="F46" s="20"/>
      <c r="G46" s="20" t="s">
        <v>54</v>
      </c>
      <c r="H46" s="20" t="s">
        <v>54</v>
      </c>
      <c r="I46" s="21">
        <v>0.33333333333333337</v>
      </c>
      <c r="J46" s="21">
        <v>0.33333333333333337</v>
      </c>
      <c r="K46" s="21">
        <v>0.33333333333333337</v>
      </c>
      <c r="L46" s="21"/>
      <c r="M46" s="22">
        <f t="shared" si="0"/>
        <v>1</v>
      </c>
      <c r="N46" s="23" t="s">
        <v>100</v>
      </c>
    </row>
    <row r="47" spans="1:14" x14ac:dyDescent="0.25">
      <c r="A47">
        <v>4</v>
      </c>
      <c r="B47" s="19" t="s">
        <v>102</v>
      </c>
      <c r="C47" s="20" t="s">
        <v>54</v>
      </c>
      <c r="D47" s="20"/>
      <c r="E47" s="20"/>
      <c r="F47" s="20" t="s">
        <v>54</v>
      </c>
      <c r="G47" s="20"/>
      <c r="H47" s="20"/>
      <c r="I47" s="21"/>
      <c r="J47" s="21"/>
      <c r="K47" s="21"/>
      <c r="L47" s="21">
        <v>1</v>
      </c>
      <c r="M47" s="22">
        <f t="shared" si="0"/>
        <v>1</v>
      </c>
      <c r="N47" s="23" t="s">
        <v>107</v>
      </c>
    </row>
    <row r="48" spans="1:14" x14ac:dyDescent="0.25">
      <c r="A48">
        <v>2</v>
      </c>
      <c r="B48" s="19" t="s">
        <v>103</v>
      </c>
      <c r="C48" s="20" t="s">
        <v>54</v>
      </c>
      <c r="D48" s="20"/>
      <c r="E48" s="20"/>
      <c r="F48" s="20"/>
      <c r="G48" s="20"/>
      <c r="H48" s="20"/>
      <c r="I48" s="21"/>
      <c r="J48" s="21"/>
      <c r="K48" s="21">
        <v>1</v>
      </c>
      <c r="L48" s="21"/>
      <c r="M48" s="22">
        <f t="shared" si="0"/>
        <v>1</v>
      </c>
      <c r="N48" s="23" t="s">
        <v>109</v>
      </c>
    </row>
    <row r="49" spans="1:14" x14ac:dyDescent="0.25">
      <c r="A49">
        <v>3</v>
      </c>
      <c r="B49" s="19" t="s">
        <v>104</v>
      </c>
      <c r="C49" s="20" t="s">
        <v>54</v>
      </c>
      <c r="D49" s="20"/>
      <c r="E49" s="20" t="s">
        <v>54</v>
      </c>
      <c r="F49" s="20" t="s">
        <v>54</v>
      </c>
      <c r="G49" s="20" t="s">
        <v>54</v>
      </c>
      <c r="H49" s="20"/>
      <c r="I49" s="21"/>
      <c r="J49" s="21"/>
      <c r="K49" s="21">
        <v>1</v>
      </c>
      <c r="L49" s="21"/>
      <c r="M49" s="22">
        <f t="shared" si="0"/>
        <v>1</v>
      </c>
      <c r="N49" s="23" t="s">
        <v>110</v>
      </c>
    </row>
    <row r="50" spans="1:14" x14ac:dyDescent="0.25">
      <c r="A50">
        <v>1</v>
      </c>
      <c r="B50" s="19" t="s">
        <v>106</v>
      </c>
      <c r="C50" s="20"/>
      <c r="D50" s="20"/>
      <c r="E50" s="20"/>
      <c r="F50" s="20"/>
      <c r="G50" s="20" t="s">
        <v>54</v>
      </c>
      <c r="H50" s="20" t="s">
        <v>54</v>
      </c>
      <c r="I50" s="21">
        <v>0.15</v>
      </c>
      <c r="J50" s="21">
        <v>0.15</v>
      </c>
      <c r="K50" s="21">
        <v>0.7</v>
      </c>
      <c r="L50" s="21"/>
      <c r="M50" s="22">
        <f t="shared" si="0"/>
        <v>1</v>
      </c>
      <c r="N50" s="23" t="s">
        <v>111</v>
      </c>
    </row>
    <row r="51" spans="1:14" x14ac:dyDescent="0.25">
      <c r="A51">
        <v>1</v>
      </c>
      <c r="B51" s="19" t="s">
        <v>112</v>
      </c>
      <c r="C51" s="20"/>
      <c r="D51" s="20"/>
      <c r="E51" s="20"/>
      <c r="F51" s="20" t="s">
        <v>54</v>
      </c>
      <c r="G51" s="20" t="s">
        <v>54</v>
      </c>
      <c r="H51" s="20"/>
      <c r="I51" s="21"/>
      <c r="J51" s="21">
        <v>0.5</v>
      </c>
      <c r="K51" s="21">
        <v>0.5</v>
      </c>
      <c r="L51" s="21"/>
      <c r="M51" s="22">
        <f t="shared" si="0"/>
        <v>1</v>
      </c>
      <c r="N51" s="23" t="s">
        <v>118</v>
      </c>
    </row>
    <row r="52" spans="1:14" x14ac:dyDescent="0.25">
      <c r="A52">
        <v>1</v>
      </c>
      <c r="B52" s="19" t="s">
        <v>113</v>
      </c>
      <c r="C52" s="20" t="s">
        <v>54</v>
      </c>
      <c r="D52" s="20" t="s">
        <v>54</v>
      </c>
      <c r="E52" s="20"/>
      <c r="F52" s="20"/>
      <c r="G52" s="20" t="s">
        <v>54</v>
      </c>
      <c r="H52" s="20"/>
      <c r="I52" s="21">
        <v>0.33333333333333337</v>
      </c>
      <c r="J52" s="21">
        <v>0.33333333333333337</v>
      </c>
      <c r="K52" s="21">
        <v>0.33333333333333337</v>
      </c>
      <c r="L52" s="21"/>
      <c r="M52" s="22">
        <f t="shared" si="0"/>
        <v>1</v>
      </c>
      <c r="N52" s="23" t="s">
        <v>119</v>
      </c>
    </row>
    <row r="53" spans="1:14" x14ac:dyDescent="0.25">
      <c r="A53">
        <v>3</v>
      </c>
      <c r="B53" s="19" t="s">
        <v>114</v>
      </c>
      <c r="C53" s="20" t="s">
        <v>54</v>
      </c>
      <c r="D53" s="20"/>
      <c r="E53" s="20"/>
      <c r="F53" s="20"/>
      <c r="G53" s="20"/>
      <c r="H53" s="20"/>
      <c r="I53" s="21"/>
      <c r="J53" s="21">
        <v>1</v>
      </c>
      <c r="K53" s="21"/>
      <c r="L53" s="21"/>
      <c r="M53" s="22">
        <f t="shared" si="0"/>
        <v>1</v>
      </c>
      <c r="N53" s="23" t="s">
        <v>120</v>
      </c>
    </row>
    <row r="54" spans="1:14" x14ac:dyDescent="0.25">
      <c r="A54">
        <v>4</v>
      </c>
      <c r="B54" s="19" t="s">
        <v>115</v>
      </c>
      <c r="C54" s="20" t="s">
        <v>54</v>
      </c>
      <c r="D54" s="20" t="s">
        <v>54</v>
      </c>
      <c r="E54" s="20"/>
      <c r="F54" s="20" t="s">
        <v>54</v>
      </c>
      <c r="G54" s="20"/>
      <c r="H54" s="20"/>
      <c r="I54" s="21"/>
      <c r="J54" s="21"/>
      <c r="K54" s="21"/>
      <c r="L54" s="21">
        <v>1</v>
      </c>
      <c r="M54" s="22">
        <f t="shared" si="0"/>
        <v>1</v>
      </c>
      <c r="N54" s="23" t="s">
        <v>121</v>
      </c>
    </row>
    <row r="55" spans="1:14" x14ac:dyDescent="0.25">
      <c r="A55">
        <v>3</v>
      </c>
      <c r="B55" s="19" t="s">
        <v>116</v>
      </c>
      <c r="C55" s="20"/>
      <c r="D55" s="20"/>
      <c r="E55" s="20"/>
      <c r="F55" s="20" t="s">
        <v>54</v>
      </c>
      <c r="G55" s="20"/>
      <c r="H55" s="20"/>
      <c r="I55" s="21"/>
      <c r="J55" s="21"/>
      <c r="K55" s="21">
        <v>1</v>
      </c>
      <c r="L55" s="21"/>
      <c r="M55" s="22">
        <f t="shared" si="0"/>
        <v>1</v>
      </c>
      <c r="N55" s="23" t="s">
        <v>122</v>
      </c>
    </row>
    <row r="56" spans="1:14" x14ac:dyDescent="0.25">
      <c r="A56">
        <v>2</v>
      </c>
      <c r="B56" s="25" t="s">
        <v>117</v>
      </c>
      <c r="C56" s="12" t="s">
        <v>54</v>
      </c>
      <c r="D56" s="12"/>
      <c r="E56" s="12"/>
      <c r="F56" s="12"/>
      <c r="G56" s="12"/>
      <c r="H56" s="12"/>
      <c r="I56" s="26"/>
      <c r="J56" s="26">
        <v>1</v>
      </c>
      <c r="K56" s="26"/>
      <c r="L56" s="26"/>
      <c r="M56" s="22">
        <f t="shared" si="0"/>
        <v>1</v>
      </c>
      <c r="N56" s="27" t="s">
        <v>123</v>
      </c>
    </row>
  </sheetData>
  <mergeCells count="1">
    <mergeCell ref="C1:H1"/>
  </mergeCells>
  <conditionalFormatting sqref="A3:A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ECA9-0D3C-4846-8B9D-8715A99A9EEF}">
  <dimension ref="A1:O21"/>
  <sheetViews>
    <sheetView tabSelected="1" topLeftCell="C1" zoomScaleNormal="100" workbookViewId="0">
      <selection activeCell="B15" sqref="A15:XFD15"/>
    </sheetView>
  </sheetViews>
  <sheetFormatPr baseColWidth="10" defaultRowHeight="15" x14ac:dyDescent="0.25"/>
  <cols>
    <col min="1" max="1" width="16.140625" bestFit="1" customWidth="1"/>
    <col min="2" max="2" width="65.140625" style="2" bestFit="1" customWidth="1"/>
    <col min="3" max="8" width="2.85546875" bestFit="1" customWidth="1"/>
    <col min="9" max="9" width="12.7109375" style="1" bestFit="1" customWidth="1"/>
    <col min="10" max="10" width="14" style="1" bestFit="1" customWidth="1"/>
    <col min="11" max="11" width="13.7109375" style="1" bestFit="1" customWidth="1"/>
    <col min="12" max="12" width="14.140625" style="1" customWidth="1"/>
    <col min="13" max="13" width="14.140625" style="3" customWidth="1"/>
    <col min="14" max="14" width="134.140625" bestFit="1" customWidth="1"/>
  </cols>
  <sheetData>
    <row r="1" spans="1:15" s="6" customFormat="1" ht="33.75" customHeight="1" x14ac:dyDescent="0.25">
      <c r="A1" s="13" t="s">
        <v>0</v>
      </c>
      <c r="B1" s="7" t="s">
        <v>1</v>
      </c>
      <c r="C1" s="32" t="s">
        <v>2</v>
      </c>
      <c r="D1" s="32"/>
      <c r="E1" s="32"/>
      <c r="F1" s="32"/>
      <c r="G1" s="32"/>
      <c r="H1" s="32"/>
      <c r="I1" s="8" t="s">
        <v>5</v>
      </c>
      <c r="J1" s="8" t="s">
        <v>4</v>
      </c>
      <c r="K1" s="11" t="s">
        <v>3</v>
      </c>
      <c r="L1" s="8" t="s">
        <v>6</v>
      </c>
      <c r="M1" s="9" t="s">
        <v>10</v>
      </c>
      <c r="N1" s="8" t="s">
        <v>7</v>
      </c>
      <c r="O1" s="14"/>
    </row>
    <row r="2" spans="1:15" s="4" customFormat="1" x14ac:dyDescent="0.25">
      <c r="A2" s="10" t="s">
        <v>101</v>
      </c>
      <c r="B2" s="15"/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16"/>
      <c r="J2" s="16"/>
      <c r="K2" s="16"/>
      <c r="L2" s="16"/>
      <c r="M2" s="17"/>
      <c r="N2" s="18"/>
    </row>
    <row r="3" spans="1:15" x14ac:dyDescent="0.25">
      <c r="A3">
        <v>2</v>
      </c>
      <c r="B3" s="19" t="s">
        <v>124</v>
      </c>
      <c r="C3" s="20" t="s">
        <v>142</v>
      </c>
      <c r="D3" s="20"/>
      <c r="E3" s="20" t="s">
        <v>142</v>
      </c>
      <c r="F3" s="20"/>
      <c r="G3" s="20"/>
      <c r="H3" s="20"/>
      <c r="I3" s="21"/>
      <c r="J3" s="21"/>
      <c r="K3" s="21">
        <v>1</v>
      </c>
      <c r="L3" s="21"/>
      <c r="M3" s="22">
        <f>I3+J3+K3+L3</f>
        <v>1</v>
      </c>
      <c r="N3" t="s">
        <v>143</v>
      </c>
    </row>
    <row r="4" spans="1:15" x14ac:dyDescent="0.25">
      <c r="A4">
        <v>1</v>
      </c>
      <c r="B4" s="19" t="s">
        <v>131</v>
      </c>
      <c r="C4" s="20" t="s">
        <v>142</v>
      </c>
      <c r="D4" s="20"/>
      <c r="E4" s="20" t="s">
        <v>142</v>
      </c>
      <c r="F4" s="20" t="s">
        <v>142</v>
      </c>
      <c r="G4" s="20"/>
      <c r="H4" s="20"/>
      <c r="I4" s="21">
        <v>1</v>
      </c>
      <c r="J4" s="21"/>
      <c r="K4" s="21"/>
      <c r="L4" s="21"/>
      <c r="M4" s="22">
        <f t="shared" ref="M4:M21" si="0">I4+J4+K4+L4</f>
        <v>1</v>
      </c>
      <c r="N4" t="s">
        <v>144</v>
      </c>
    </row>
    <row r="5" spans="1:15" x14ac:dyDescent="0.25">
      <c r="A5">
        <v>3</v>
      </c>
      <c r="B5" s="19" t="s">
        <v>125</v>
      </c>
      <c r="C5" s="20"/>
      <c r="D5" s="20"/>
      <c r="E5" s="20"/>
      <c r="F5" s="20"/>
      <c r="G5" s="20" t="s">
        <v>142</v>
      </c>
      <c r="H5" s="20" t="s">
        <v>142</v>
      </c>
      <c r="I5" s="21">
        <v>0.33333333333333337</v>
      </c>
      <c r="J5" s="21">
        <v>0.33333333333333337</v>
      </c>
      <c r="K5" s="21">
        <v>0.33333333333333337</v>
      </c>
      <c r="L5" s="21"/>
      <c r="M5" s="22">
        <f t="shared" si="0"/>
        <v>1</v>
      </c>
      <c r="N5" t="s">
        <v>145</v>
      </c>
    </row>
    <row r="6" spans="1:15" x14ac:dyDescent="0.25">
      <c r="A6" s="31">
        <v>2</v>
      </c>
      <c r="B6" s="19" t="s">
        <v>126</v>
      </c>
      <c r="C6" s="20" t="s">
        <v>142</v>
      </c>
      <c r="D6" s="20"/>
      <c r="E6" s="20"/>
      <c r="F6" s="20" t="s">
        <v>142</v>
      </c>
      <c r="G6" s="20"/>
      <c r="H6" s="20"/>
      <c r="I6" s="21"/>
      <c r="J6" s="21">
        <v>0.1</v>
      </c>
      <c r="K6" s="21">
        <v>0.7</v>
      </c>
      <c r="L6" s="21">
        <v>0.2</v>
      </c>
      <c r="M6" s="22">
        <f t="shared" si="0"/>
        <v>1</v>
      </c>
      <c r="N6" t="s">
        <v>146</v>
      </c>
    </row>
    <row r="7" spans="1:15" x14ac:dyDescent="0.25">
      <c r="A7" s="31">
        <v>2</v>
      </c>
      <c r="B7" s="19" t="s">
        <v>115</v>
      </c>
      <c r="C7" s="20" t="s">
        <v>142</v>
      </c>
      <c r="D7" s="20"/>
      <c r="E7" s="20"/>
      <c r="F7" s="20"/>
      <c r="G7" s="20"/>
      <c r="H7" s="20"/>
      <c r="I7" s="21"/>
      <c r="J7" s="21"/>
      <c r="K7" s="21"/>
      <c r="L7" s="21">
        <v>1</v>
      </c>
      <c r="M7" s="22">
        <f t="shared" si="0"/>
        <v>1</v>
      </c>
      <c r="N7" t="s">
        <v>147</v>
      </c>
    </row>
    <row r="8" spans="1:15" x14ac:dyDescent="0.25">
      <c r="A8" s="31">
        <v>2</v>
      </c>
      <c r="B8" s="19" t="s">
        <v>127</v>
      </c>
      <c r="C8" s="20" t="s">
        <v>142</v>
      </c>
      <c r="D8" s="20"/>
      <c r="E8" s="20" t="s">
        <v>142</v>
      </c>
      <c r="F8" s="20" t="s">
        <v>142</v>
      </c>
      <c r="G8" s="20"/>
      <c r="H8" s="20"/>
      <c r="I8" s="21"/>
      <c r="J8" s="21">
        <v>1</v>
      </c>
      <c r="K8" s="21"/>
      <c r="L8" s="21"/>
      <c r="M8" s="22">
        <f t="shared" si="0"/>
        <v>1</v>
      </c>
      <c r="N8" t="s">
        <v>148</v>
      </c>
    </row>
    <row r="9" spans="1:15" x14ac:dyDescent="0.25">
      <c r="A9" s="31">
        <v>1</v>
      </c>
      <c r="B9" s="19" t="s">
        <v>128</v>
      </c>
      <c r="C9" s="20" t="s">
        <v>142</v>
      </c>
      <c r="D9" s="20" t="s">
        <v>142</v>
      </c>
      <c r="E9" s="20" t="s">
        <v>142</v>
      </c>
      <c r="F9" s="20" t="s">
        <v>142</v>
      </c>
      <c r="G9" s="20" t="s">
        <v>142</v>
      </c>
      <c r="H9" s="20" t="s">
        <v>142</v>
      </c>
      <c r="I9" s="21">
        <v>0.33333333333333337</v>
      </c>
      <c r="J9" s="21">
        <v>0.33333333333333337</v>
      </c>
      <c r="K9" s="21">
        <v>0.33333333333333337</v>
      </c>
      <c r="L9" s="21"/>
      <c r="M9" s="22">
        <f t="shared" si="0"/>
        <v>1</v>
      </c>
      <c r="N9" t="s">
        <v>149</v>
      </c>
    </row>
    <row r="10" spans="1:15" x14ac:dyDescent="0.25">
      <c r="A10" s="31">
        <v>3</v>
      </c>
      <c r="B10" s="19" t="s">
        <v>129</v>
      </c>
      <c r="C10" s="20" t="s">
        <v>142</v>
      </c>
      <c r="D10" s="20"/>
      <c r="E10" s="20"/>
      <c r="F10" s="20"/>
      <c r="G10" s="20"/>
      <c r="H10" s="20"/>
      <c r="I10" s="21"/>
      <c r="J10" s="21">
        <v>0.5</v>
      </c>
      <c r="K10" s="21">
        <v>0.5</v>
      </c>
      <c r="L10" s="21"/>
      <c r="M10" s="22">
        <f t="shared" si="0"/>
        <v>1</v>
      </c>
      <c r="N10" t="s">
        <v>150</v>
      </c>
    </row>
    <row r="11" spans="1:15" x14ac:dyDescent="0.25">
      <c r="A11" s="31">
        <v>2</v>
      </c>
      <c r="B11" s="19" t="s">
        <v>130</v>
      </c>
      <c r="C11" s="20" t="s">
        <v>142</v>
      </c>
      <c r="D11" s="20"/>
      <c r="E11" s="20"/>
      <c r="F11" s="20" t="s">
        <v>142</v>
      </c>
      <c r="G11" s="20"/>
      <c r="H11" s="20"/>
      <c r="I11" s="21">
        <v>1</v>
      </c>
      <c r="J11" s="21"/>
      <c r="K11" s="21"/>
      <c r="L11" s="21"/>
      <c r="M11" s="22">
        <f t="shared" si="0"/>
        <v>1</v>
      </c>
      <c r="N11" t="s">
        <v>151</v>
      </c>
    </row>
    <row r="12" spans="1:15" x14ac:dyDescent="0.25">
      <c r="A12" s="31">
        <v>1</v>
      </c>
      <c r="B12" s="19" t="s">
        <v>132</v>
      </c>
      <c r="C12" s="20" t="s">
        <v>142</v>
      </c>
      <c r="D12" s="20"/>
      <c r="E12" s="20" t="s">
        <v>142</v>
      </c>
      <c r="F12" s="20"/>
      <c r="G12" s="20"/>
      <c r="H12" s="20"/>
      <c r="I12" s="21"/>
      <c r="J12" s="21">
        <v>1</v>
      </c>
      <c r="K12" s="21"/>
      <c r="L12" s="21"/>
      <c r="M12" s="22">
        <f t="shared" si="0"/>
        <v>1</v>
      </c>
      <c r="N12" t="s">
        <v>152</v>
      </c>
    </row>
    <row r="13" spans="1:15" x14ac:dyDescent="0.25">
      <c r="A13" s="31">
        <v>3</v>
      </c>
      <c r="B13" s="19" t="s">
        <v>136</v>
      </c>
      <c r="C13" s="20" t="s">
        <v>142</v>
      </c>
      <c r="D13" s="20"/>
      <c r="E13" s="20"/>
      <c r="F13" s="20"/>
      <c r="G13" s="20"/>
      <c r="H13" s="20"/>
      <c r="I13" s="21"/>
      <c r="J13" s="21"/>
      <c r="K13" s="21">
        <v>1</v>
      </c>
      <c r="L13" s="21"/>
      <c r="M13" s="22"/>
      <c r="N13" s="29" t="s">
        <v>153</v>
      </c>
    </row>
    <row r="14" spans="1:15" ht="16.5" customHeight="1" x14ac:dyDescent="0.25">
      <c r="A14" s="31">
        <v>2</v>
      </c>
      <c r="B14" s="19" t="s">
        <v>135</v>
      </c>
      <c r="C14" s="20" t="s">
        <v>142</v>
      </c>
      <c r="D14" s="20"/>
      <c r="E14" s="20"/>
      <c r="F14" s="20" t="s">
        <v>142</v>
      </c>
      <c r="G14" s="20"/>
      <c r="H14" s="20"/>
      <c r="I14" s="21"/>
      <c r="J14" s="21"/>
      <c r="K14" s="21">
        <v>1</v>
      </c>
      <c r="L14" s="21"/>
      <c r="M14" s="22">
        <f t="shared" si="0"/>
        <v>1</v>
      </c>
      <c r="N14" t="s">
        <v>154</v>
      </c>
    </row>
    <row r="15" spans="1:15" x14ac:dyDescent="0.25">
      <c r="A15" s="31">
        <v>3</v>
      </c>
      <c r="B15" s="19" t="s">
        <v>133</v>
      </c>
      <c r="C15" s="20" t="s">
        <v>142</v>
      </c>
      <c r="D15" s="20" t="s">
        <v>142</v>
      </c>
      <c r="E15" s="20"/>
      <c r="F15" s="20" t="s">
        <v>142</v>
      </c>
      <c r="G15" s="20"/>
      <c r="H15" s="20"/>
      <c r="I15" s="21">
        <v>0.5</v>
      </c>
      <c r="J15" s="21"/>
      <c r="K15" s="21"/>
      <c r="L15" s="21">
        <v>0.5</v>
      </c>
      <c r="M15" s="22">
        <f t="shared" si="0"/>
        <v>1</v>
      </c>
      <c r="N15" t="s">
        <v>155</v>
      </c>
    </row>
    <row r="16" spans="1:15" x14ac:dyDescent="0.25">
      <c r="A16" s="31">
        <v>2</v>
      </c>
      <c r="B16" s="19" t="s">
        <v>134</v>
      </c>
      <c r="C16" s="20"/>
      <c r="D16" s="20"/>
      <c r="E16" s="20"/>
      <c r="F16" s="20"/>
      <c r="G16" s="20" t="s">
        <v>142</v>
      </c>
      <c r="H16" s="20" t="s">
        <v>142</v>
      </c>
      <c r="I16" s="21">
        <v>1</v>
      </c>
      <c r="J16" s="21"/>
      <c r="K16" s="21"/>
      <c r="L16" s="21"/>
      <c r="M16" s="22">
        <f t="shared" si="0"/>
        <v>1</v>
      </c>
      <c r="N16" t="s">
        <v>156</v>
      </c>
    </row>
    <row r="17" spans="1:14" x14ac:dyDescent="0.25">
      <c r="A17" s="31">
        <v>1</v>
      </c>
      <c r="B17" s="19" t="s">
        <v>137</v>
      </c>
      <c r="C17" s="20" t="s">
        <v>142</v>
      </c>
      <c r="D17" s="20"/>
      <c r="E17" s="20" t="s">
        <v>142</v>
      </c>
      <c r="F17" s="20" t="s">
        <v>142</v>
      </c>
      <c r="G17" s="20"/>
      <c r="H17" s="20"/>
      <c r="I17" s="21"/>
      <c r="J17" s="21">
        <v>1</v>
      </c>
      <c r="K17" s="21"/>
      <c r="L17" s="21"/>
      <c r="M17" s="22">
        <f t="shared" si="0"/>
        <v>1</v>
      </c>
      <c r="N17" t="s">
        <v>157</v>
      </c>
    </row>
    <row r="18" spans="1:14" x14ac:dyDescent="0.25">
      <c r="A18" s="31">
        <v>2</v>
      </c>
      <c r="B18" s="19" t="s">
        <v>138</v>
      </c>
      <c r="C18" s="20" t="s">
        <v>142</v>
      </c>
      <c r="D18" s="20"/>
      <c r="E18" s="20"/>
      <c r="F18" s="20" t="s">
        <v>142</v>
      </c>
      <c r="G18" s="20"/>
      <c r="H18" s="20"/>
      <c r="I18" s="21">
        <v>1</v>
      </c>
      <c r="J18" s="21"/>
      <c r="K18" s="21"/>
      <c r="L18" s="21"/>
      <c r="M18" s="22">
        <f t="shared" si="0"/>
        <v>1</v>
      </c>
      <c r="N18" t="s">
        <v>158</v>
      </c>
    </row>
    <row r="19" spans="1:14" x14ac:dyDescent="0.25">
      <c r="A19" s="31">
        <v>1</v>
      </c>
      <c r="B19" s="19" t="s">
        <v>139</v>
      </c>
      <c r="C19" s="20" t="s">
        <v>142</v>
      </c>
      <c r="D19" s="20" t="s">
        <v>142</v>
      </c>
      <c r="E19" s="20"/>
      <c r="F19" s="20" t="s">
        <v>142</v>
      </c>
      <c r="G19" s="20"/>
      <c r="H19" s="20"/>
      <c r="I19" s="21"/>
      <c r="J19" s="21"/>
      <c r="K19" s="21">
        <v>1</v>
      </c>
      <c r="L19" s="21"/>
      <c r="M19" s="22">
        <f t="shared" si="0"/>
        <v>1</v>
      </c>
      <c r="N19" t="s">
        <v>159</v>
      </c>
    </row>
    <row r="20" spans="1:14" x14ac:dyDescent="0.25">
      <c r="A20" s="31">
        <v>3</v>
      </c>
      <c r="B20" s="19" t="s">
        <v>140</v>
      </c>
      <c r="C20" s="20" t="s">
        <v>142</v>
      </c>
      <c r="D20" s="20"/>
      <c r="E20" s="20"/>
      <c r="F20" s="20" t="s">
        <v>142</v>
      </c>
      <c r="G20" s="20"/>
      <c r="H20" s="20"/>
      <c r="I20" s="21">
        <v>1</v>
      </c>
      <c r="J20" s="21"/>
      <c r="K20" s="21"/>
      <c r="L20" s="21"/>
      <c r="M20" s="22">
        <f t="shared" si="0"/>
        <v>1</v>
      </c>
      <c r="N20" t="s">
        <v>160</v>
      </c>
    </row>
    <row r="21" spans="1:14" x14ac:dyDescent="0.25">
      <c r="A21" s="27">
        <v>1</v>
      </c>
      <c r="B21" s="30" t="s">
        <v>141</v>
      </c>
      <c r="C21" s="12"/>
      <c r="D21" s="12"/>
      <c r="E21" s="12"/>
      <c r="F21" s="12"/>
      <c r="G21" s="12" t="s">
        <v>142</v>
      </c>
      <c r="H21" s="12" t="s">
        <v>142</v>
      </c>
      <c r="I21" s="26">
        <v>0.33333333333333337</v>
      </c>
      <c r="J21" s="26">
        <v>0.33333333333333337</v>
      </c>
      <c r="K21" s="26">
        <v>0.33333333333333337</v>
      </c>
      <c r="L21" s="26"/>
      <c r="M21" s="28">
        <f t="shared" si="0"/>
        <v>1</v>
      </c>
      <c r="N21" t="s">
        <v>161</v>
      </c>
    </row>
  </sheetData>
  <mergeCells count="1">
    <mergeCell ref="C1:H1"/>
  </mergeCells>
  <conditionalFormatting sqref="A3:A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S3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 CELESTE p2301500</dc:creator>
  <cp:lastModifiedBy>BULLE CELESTE p2301500</cp:lastModifiedBy>
  <dcterms:created xsi:type="dcterms:W3CDTF">2026-01-05T08:10:17Z</dcterms:created>
  <dcterms:modified xsi:type="dcterms:W3CDTF">2026-03-16T08:38:58Z</dcterms:modified>
</cp:coreProperties>
</file>